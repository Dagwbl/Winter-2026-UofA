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inpeng6\Documents\Course\Winter-2026\MIN-E-630\HW-4\"/>
    </mc:Choice>
  </mc:AlternateContent>
  <xr:revisionPtr revIDLastSave="0" documentId="8_{B05C97AA-2EA0-4A23-B0E1-598A03E4A4BD}" xr6:coauthVersionLast="47" xr6:coauthVersionMax="47" xr10:uidLastSave="{00000000-0000-0000-0000-000000000000}"/>
  <bookViews>
    <workbookView xWindow="-24270" yWindow="1515" windowWidth="21600" windowHeight="14055" xr2:uid="{BD3BFA2D-7F5A-4ACA-9B41-89539551E3D6}"/>
  </bookViews>
  <sheets>
    <sheet name="N" sheetId="1" r:id="rId1"/>
    <sheet name="A" sheetId="2" r:id="rId2"/>
    <sheet name="B" sheetId="3" r:id="rId3"/>
    <sheet name="C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3" l="1"/>
  <c r="C6" i="1"/>
  <c r="C7" i="1"/>
  <c r="C8" i="1"/>
  <c r="F6" i="1"/>
  <c r="F7" i="1"/>
  <c r="F8" i="1"/>
  <c r="F5" i="1"/>
  <c r="E6" i="1"/>
  <c r="E7" i="1"/>
  <c r="E8" i="1"/>
  <c r="E5" i="1"/>
  <c r="D6" i="1"/>
  <c r="D7" i="1"/>
  <c r="D8" i="1"/>
  <c r="D5" i="1"/>
  <c r="C5" i="1"/>
  <c r="C4" i="4"/>
  <c r="K6" i="2"/>
  <c r="J6" i="2"/>
  <c r="E6" i="2"/>
  <c r="E5" i="2"/>
  <c r="J7" i="2"/>
  <c r="K7" i="2" s="1"/>
  <c r="J4" i="2"/>
  <c r="K4" i="2" s="1"/>
  <c r="E7" i="2"/>
  <c r="H5" i="2"/>
  <c r="H6" i="2"/>
  <c r="H7" i="2"/>
  <c r="H4" i="2"/>
  <c r="E4" i="2"/>
  <c r="D14" i="1"/>
  <c r="D15" i="1"/>
  <c r="D16" i="1"/>
  <c r="D13" i="1"/>
</calcChain>
</file>

<file path=xl/sharedStrings.xml><?xml version="1.0" encoding="utf-8"?>
<sst xmlns="http://schemas.openxmlformats.org/spreadsheetml/2006/main" count="50" uniqueCount="30">
  <si>
    <t>Q'</t>
  </si>
  <si>
    <t>A</t>
  </si>
  <si>
    <t>B</t>
  </si>
  <si>
    <t>C</t>
  </si>
  <si>
    <t>N</t>
  </si>
  <si>
    <t>Crown</t>
  </si>
  <si>
    <t>End Wall</t>
  </si>
  <si>
    <t>Foot Wall</t>
  </si>
  <si>
    <t>Hanging Wall</t>
  </si>
  <si>
    <t>HR</t>
  </si>
  <si>
    <t>Length</t>
  </si>
  <si>
    <t>Width</t>
  </si>
  <si>
    <t>Height/Span</t>
  </si>
  <si>
    <t>K</t>
  </si>
  <si>
    <t>\sigma_v</t>
  </si>
  <si>
    <t>\sigma_h1</t>
  </si>
  <si>
    <t>\sigma_h2</t>
  </si>
  <si>
    <t>\sigma_1</t>
  </si>
  <si>
    <t>Height</t>
  </si>
  <si>
    <t>Span</t>
  </si>
  <si>
    <t>\sigma_c/\sigma_1</t>
  </si>
  <si>
    <t>\sigma_1/\sigma_v
or \sigma_1/\sigma_h1</t>
  </si>
  <si>
    <t>Hanging Wall
Foot Wall
(horizontal plane)</t>
  </si>
  <si>
    <t>Crown
(vertical plane)</t>
  </si>
  <si>
    <t>Hanging Wall
Foot Wall 
(Vertical plane)</t>
  </si>
  <si>
    <t>End Wall
(horizontal plane)</t>
  </si>
  <si>
    <t>&gt;10</t>
  </si>
  <si>
    <t>Orientation</t>
  </si>
  <si>
    <t>Value of B</t>
  </si>
  <si>
    <t>Value of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</si>
</sst>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200025</xdr:colOff>
      <xdr:row>2</xdr:row>
      <xdr:rowOff>114300</xdr:rowOff>
    </xdr:from>
    <xdr:to>
      <xdr:col>17</xdr:col>
      <xdr:colOff>561092</xdr:colOff>
      <xdr:row>17</xdr:row>
      <xdr:rowOff>189919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F3F116-633B-849A-CD7B-89375507B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95775" y="495300"/>
          <a:ext cx="7066667" cy="46476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184419</xdr:rowOff>
    </xdr:from>
    <xdr:to>
      <xdr:col>6</xdr:col>
      <xdr:colOff>123038</xdr:colOff>
      <xdr:row>25</xdr:row>
      <xdr:rowOff>113817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C4B68F-8848-BABF-4F01-DAB5BF507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61069"/>
          <a:ext cx="4847438" cy="2977398"/>
        </a:xfrm>
        <a:prstGeom prst="rect">
          <a:avLst/>
        </a:prstGeom>
      </xdr:spPr>
    </xdr:pic>
    <xdr:clientData/>
  </xdr:twoCellAnchor>
  <xdr:twoCellAnchor editAs="oneCell">
    <xdr:from>
      <xdr:col>6</xdr:col>
      <xdr:colOff>9525</xdr:colOff>
      <xdr:row>8</xdr:row>
      <xdr:rowOff>57150</xdr:rowOff>
    </xdr:from>
    <xdr:to>
      <xdr:col>8</xdr:col>
      <xdr:colOff>1371600</xdr:colOff>
      <xdr:row>25</xdr:row>
      <xdr:rowOff>174951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0E9CFF-17F2-F4E5-A8A7-D2EB7E638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3925" y="3543300"/>
          <a:ext cx="3276600" cy="3356301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1238252</xdr:colOff>
      <xdr:row>8</xdr:row>
      <xdr:rowOff>161926</xdr:rowOff>
    </xdr:from>
    <xdr:to>
      <xdr:col>12</xdr:col>
      <xdr:colOff>102932</xdr:colOff>
      <xdr:row>24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4097CC-B5CB-41F1-DED0-74B431DA5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77177" y="3648076"/>
          <a:ext cx="3484305" cy="3000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0</xdr:row>
      <xdr:rowOff>0</xdr:rowOff>
    </xdr:from>
    <xdr:to>
      <xdr:col>13</xdr:col>
      <xdr:colOff>191798</xdr:colOff>
      <xdr:row>15</xdr:row>
      <xdr:rowOff>26569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B7FF5-E7C3-0136-32D3-B4D7AFED8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71850" y="0"/>
          <a:ext cx="5716298" cy="526531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28575</xdr:rowOff>
    </xdr:from>
    <xdr:to>
      <xdr:col>9</xdr:col>
      <xdr:colOff>105215</xdr:colOff>
      <xdr:row>5</xdr:row>
      <xdr:rowOff>105178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C867C2-DB54-E089-964F-E0380C8CA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4175" y="28575"/>
          <a:ext cx="3153215" cy="2886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06CF-19F4-411F-ACE4-960811792AD2}">
  <dimension ref="A4:F16"/>
  <sheetViews>
    <sheetView tabSelected="1" workbookViewId="0">
      <selection activeCell="C7" sqref="C7"/>
    </sheetView>
  </sheetViews>
  <sheetFormatPr defaultRowHeight="15" x14ac:dyDescent="0.25"/>
  <cols>
    <col min="1" max="1" width="15.7109375" customWidth="1"/>
  </cols>
  <sheetData>
    <row r="4" spans="1:6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</row>
    <row r="5" spans="1:6" ht="31.5" customHeight="1" x14ac:dyDescent="0.25">
      <c r="A5" t="s">
        <v>5</v>
      </c>
      <c r="B5">
        <v>60.5</v>
      </c>
      <c r="C5">
        <f>A!L4</f>
        <v>0.1</v>
      </c>
      <c r="D5">
        <f>B!C2</f>
        <v>0.3</v>
      </c>
      <c r="E5">
        <f>'C'!C2</f>
        <v>1</v>
      </c>
      <c r="F5">
        <f>B5*C5*D5*E5</f>
        <v>1.8150000000000002</v>
      </c>
    </row>
    <row r="6" spans="1:6" ht="31.5" customHeight="1" x14ac:dyDescent="0.25">
      <c r="A6" t="s">
        <v>7</v>
      </c>
      <c r="B6">
        <v>60.5</v>
      </c>
      <c r="C6">
        <f>A!L6</f>
        <v>0.15</v>
      </c>
      <c r="D6">
        <f>B!C3</f>
        <v>0.4</v>
      </c>
      <c r="E6">
        <f>'C'!C3</f>
        <v>8</v>
      </c>
      <c r="F6">
        <f t="shared" ref="F6:F8" si="0">B6*C6*D6*E6</f>
        <v>29.04</v>
      </c>
    </row>
    <row r="7" spans="1:6" ht="36.75" customHeight="1" x14ac:dyDescent="0.25">
      <c r="A7" t="s">
        <v>8</v>
      </c>
      <c r="B7">
        <v>60.5</v>
      </c>
      <c r="C7">
        <f>A!L6</f>
        <v>0.15</v>
      </c>
      <c r="D7">
        <f>B!C4</f>
        <v>0.4</v>
      </c>
      <c r="E7">
        <f>'C'!C4</f>
        <v>5.0416721678151042</v>
      </c>
      <c r="F7">
        <f t="shared" si="0"/>
        <v>18.301269969168828</v>
      </c>
    </row>
    <row r="8" spans="1:6" ht="41.25" customHeight="1" x14ac:dyDescent="0.25">
      <c r="A8" t="s">
        <v>6</v>
      </c>
      <c r="B8">
        <v>60.5</v>
      </c>
      <c r="C8">
        <f>A!L7</f>
        <v>0.1</v>
      </c>
      <c r="D8">
        <f>B!C5</f>
        <v>1</v>
      </c>
      <c r="E8">
        <f>'C'!C5</f>
        <v>8</v>
      </c>
      <c r="F8">
        <f t="shared" si="0"/>
        <v>48.400000000000006</v>
      </c>
    </row>
    <row r="12" spans="1:6" x14ac:dyDescent="0.25">
      <c r="B12" t="s">
        <v>10</v>
      </c>
      <c r="C12" t="s">
        <v>11</v>
      </c>
      <c r="D12" t="s">
        <v>9</v>
      </c>
    </row>
    <row r="13" spans="1:6" ht="28.5" customHeight="1" x14ac:dyDescent="0.25">
      <c r="A13" t="s">
        <v>5</v>
      </c>
      <c r="B13">
        <v>45</v>
      </c>
      <c r="C13">
        <v>30</v>
      </c>
      <c r="D13">
        <f>(B13*C13)/(2*(B13+C13))</f>
        <v>9</v>
      </c>
    </row>
    <row r="14" spans="1:6" ht="28.5" customHeight="1" x14ac:dyDescent="0.25">
      <c r="A14" t="s">
        <v>7</v>
      </c>
      <c r="B14">
        <v>80</v>
      </c>
      <c r="C14">
        <v>45</v>
      </c>
      <c r="D14">
        <f t="shared" ref="D14:D16" si="1">(B14*C14)/(2*(B14+C14))</f>
        <v>14.4</v>
      </c>
    </row>
    <row r="15" spans="1:6" ht="28.5" customHeight="1" x14ac:dyDescent="0.25">
      <c r="A15" t="s">
        <v>8</v>
      </c>
      <c r="B15">
        <v>80</v>
      </c>
      <c r="C15">
        <v>45</v>
      </c>
      <c r="D15">
        <f t="shared" si="1"/>
        <v>14.4</v>
      </c>
    </row>
    <row r="16" spans="1:6" ht="28.5" customHeight="1" x14ac:dyDescent="0.25">
      <c r="A16" t="s">
        <v>6</v>
      </c>
      <c r="B16">
        <v>80</v>
      </c>
      <c r="C16">
        <v>30</v>
      </c>
      <c r="D16">
        <f t="shared" si="1"/>
        <v>10.909090909090908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B0D75-0153-49A3-A6A1-97C3ECB30BA3}">
  <dimension ref="A3:L7"/>
  <sheetViews>
    <sheetView topLeftCell="A3" workbookViewId="0">
      <selection activeCell="K5" sqref="K5"/>
    </sheetView>
  </sheetViews>
  <sheetFormatPr defaultRowHeight="15" x14ac:dyDescent="0.25"/>
  <cols>
    <col min="1" max="1" width="17" customWidth="1"/>
    <col min="2" max="2" width="11.85546875" customWidth="1"/>
    <col min="3" max="3" width="12.28515625" customWidth="1"/>
    <col min="4" max="4" width="11.42578125" customWidth="1"/>
    <col min="8" max="8" width="19.5703125" customWidth="1"/>
    <col min="9" max="9" width="30.140625" customWidth="1"/>
    <col min="10" max="10" width="11.42578125" customWidth="1"/>
    <col min="11" max="11" width="18.5703125" customWidth="1"/>
  </cols>
  <sheetData>
    <row r="3" spans="1:12" ht="42.75" customHeight="1" x14ac:dyDescent="0.25">
      <c r="B3" t="s">
        <v>14</v>
      </c>
      <c r="C3" t="s">
        <v>15</v>
      </c>
      <c r="D3" t="s">
        <v>16</v>
      </c>
      <c r="E3" t="s">
        <v>13</v>
      </c>
      <c r="F3" t="s">
        <v>18</v>
      </c>
      <c r="G3" t="s">
        <v>19</v>
      </c>
      <c r="H3" t="s">
        <v>12</v>
      </c>
      <c r="I3" s="1" t="s">
        <v>21</v>
      </c>
      <c r="J3" t="s">
        <v>17</v>
      </c>
      <c r="K3" t="s">
        <v>20</v>
      </c>
      <c r="L3" t="s">
        <v>1</v>
      </c>
    </row>
    <row r="4" spans="1:12" ht="42.75" customHeight="1" x14ac:dyDescent="0.25">
      <c r="A4" s="1" t="s">
        <v>23</v>
      </c>
      <c r="B4" s="2">
        <v>33.840000000000003</v>
      </c>
      <c r="C4">
        <v>54.15</v>
      </c>
      <c r="D4" s="2">
        <v>49.23</v>
      </c>
      <c r="E4">
        <f>D4/B4</f>
        <v>1.4547872340425529</v>
      </c>
      <c r="F4">
        <v>80</v>
      </c>
      <c r="G4">
        <v>30</v>
      </c>
      <c r="H4">
        <f>F4/G4</f>
        <v>2.6666666666666665</v>
      </c>
      <c r="I4">
        <v>2.7</v>
      </c>
      <c r="J4">
        <f>I4*B4</f>
        <v>91.368000000000009</v>
      </c>
      <c r="K4">
        <f>100/J4</f>
        <v>1.0944750897469573</v>
      </c>
      <c r="L4">
        <v>0.1</v>
      </c>
    </row>
    <row r="5" spans="1:12" ht="58.5" customHeight="1" x14ac:dyDescent="0.25">
      <c r="A5" s="1" t="s">
        <v>24</v>
      </c>
      <c r="B5" s="2">
        <v>33.840000000000003</v>
      </c>
      <c r="C5">
        <v>54.15</v>
      </c>
      <c r="D5" s="2">
        <v>49.23</v>
      </c>
      <c r="E5">
        <f>D5/B5</f>
        <v>1.4547872340425529</v>
      </c>
      <c r="F5">
        <v>80</v>
      </c>
      <c r="G5">
        <v>30</v>
      </c>
      <c r="H5">
        <f t="shared" ref="H5:H7" si="0">F5/G5</f>
        <v>2.6666666666666665</v>
      </c>
      <c r="I5">
        <v>-0.05</v>
      </c>
      <c r="J5">
        <v>0</v>
      </c>
      <c r="K5" t="s">
        <v>26</v>
      </c>
      <c r="L5">
        <v>1</v>
      </c>
    </row>
    <row r="6" spans="1:12" ht="42.75" customHeight="1" x14ac:dyDescent="0.25">
      <c r="A6" s="1" t="s">
        <v>22</v>
      </c>
      <c r="B6">
        <v>33.840000000000003</v>
      </c>
      <c r="C6" s="2">
        <v>54.15</v>
      </c>
      <c r="D6" s="2">
        <v>49.23</v>
      </c>
      <c r="E6">
        <f>D6/C6</f>
        <v>0.9091412742382271</v>
      </c>
      <c r="F6">
        <v>45</v>
      </c>
      <c r="G6">
        <v>30</v>
      </c>
      <c r="H6">
        <f t="shared" si="0"/>
        <v>1.5</v>
      </c>
      <c r="I6">
        <v>0.8</v>
      </c>
      <c r="J6">
        <f>C6*I6</f>
        <v>43.32</v>
      </c>
      <c r="K6">
        <f>100/J6</f>
        <v>2.3084025854108958</v>
      </c>
      <c r="L6">
        <v>0.15</v>
      </c>
    </row>
    <row r="7" spans="1:12" ht="42.75" customHeight="1" x14ac:dyDescent="0.25">
      <c r="A7" s="1" t="s">
        <v>25</v>
      </c>
      <c r="B7">
        <v>33.840000000000003</v>
      </c>
      <c r="C7" s="2">
        <v>54.15</v>
      </c>
      <c r="D7" s="2">
        <v>49.23</v>
      </c>
      <c r="E7">
        <f>D7/C7</f>
        <v>0.9091412742382271</v>
      </c>
      <c r="F7">
        <v>45</v>
      </c>
      <c r="G7">
        <v>30</v>
      </c>
      <c r="H7">
        <f t="shared" si="0"/>
        <v>1.5</v>
      </c>
      <c r="I7">
        <v>2</v>
      </c>
      <c r="J7">
        <f>I7*C7</f>
        <v>108.3</v>
      </c>
      <c r="K7">
        <f>100/J7</f>
        <v>0.92336103416435833</v>
      </c>
      <c r="L7">
        <v>0.1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54600-A585-4D3A-BCAC-6550DB295BF6}">
  <dimension ref="A1:C12"/>
  <sheetViews>
    <sheetView workbookViewId="0">
      <selection activeCell="J20" sqref="J20"/>
    </sheetView>
  </sheetViews>
  <sheetFormatPr defaultRowHeight="15" x14ac:dyDescent="0.25"/>
  <cols>
    <col min="1" max="2" width="16.42578125" customWidth="1"/>
  </cols>
  <sheetData>
    <row r="1" spans="1:3" ht="37.5" customHeight="1" x14ac:dyDescent="0.25">
      <c r="B1" t="s">
        <v>27</v>
      </c>
      <c r="C1" t="s">
        <v>28</v>
      </c>
    </row>
    <row r="2" spans="1:3" ht="37.5" customHeight="1" x14ac:dyDescent="0.25">
      <c r="A2" t="s">
        <v>5</v>
      </c>
      <c r="B2">
        <v>20</v>
      </c>
      <c r="C2">
        <v>0.3</v>
      </c>
    </row>
    <row r="3" spans="1:3" ht="37.5" customHeight="1" x14ac:dyDescent="0.25">
      <c r="A3" t="s">
        <v>7</v>
      </c>
      <c r="B3">
        <v>45</v>
      </c>
      <c r="C3">
        <v>0.4</v>
      </c>
    </row>
    <row r="4" spans="1:3" ht="37.5" customHeight="1" x14ac:dyDescent="0.25">
      <c r="A4" t="s">
        <v>8</v>
      </c>
      <c r="B4">
        <v>45</v>
      </c>
      <c r="C4">
        <v>0.4</v>
      </c>
    </row>
    <row r="5" spans="1:3" ht="37.5" customHeight="1" x14ac:dyDescent="0.25">
      <c r="A5" t="s">
        <v>6</v>
      </c>
      <c r="B5">
        <v>90</v>
      </c>
      <c r="C5">
        <v>1</v>
      </c>
    </row>
    <row r="8" spans="1:3" ht="30" customHeight="1" x14ac:dyDescent="0.25">
      <c r="B8" t="s">
        <v>27</v>
      </c>
      <c r="C8" t="s">
        <v>29</v>
      </c>
    </row>
    <row r="9" spans="1:3" ht="30" customHeight="1" x14ac:dyDescent="0.25">
      <c r="A9" t="s">
        <v>5</v>
      </c>
      <c r="B9">
        <v>0</v>
      </c>
      <c r="C9">
        <v>1</v>
      </c>
    </row>
    <row r="10" spans="1:3" ht="30" customHeight="1" x14ac:dyDescent="0.25">
      <c r="A10" t="s">
        <v>7</v>
      </c>
      <c r="B10">
        <v>65</v>
      </c>
      <c r="C10" s="2">
        <v>8</v>
      </c>
    </row>
    <row r="11" spans="1:3" ht="30" customHeight="1" x14ac:dyDescent="0.25">
      <c r="A11" t="s">
        <v>8</v>
      </c>
      <c r="B11">
        <v>65</v>
      </c>
      <c r="C11">
        <f>8-7*COS(B11*PI()/180)</f>
        <v>5.0416721678151042</v>
      </c>
    </row>
    <row r="12" spans="1:3" ht="30" customHeight="1" x14ac:dyDescent="0.25">
      <c r="A12" t="s">
        <v>6</v>
      </c>
      <c r="B12">
        <v>90</v>
      </c>
      <c r="C12">
        <v>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E195-B0E9-4FC2-BC8C-0AF4A443726A}">
  <dimension ref="A1:C5"/>
  <sheetViews>
    <sheetView workbookViewId="0">
      <selection sqref="A1:C5"/>
    </sheetView>
  </sheetViews>
  <sheetFormatPr defaultRowHeight="15" x14ac:dyDescent="0.25"/>
  <cols>
    <col min="2" max="2" width="16.42578125" customWidth="1"/>
  </cols>
  <sheetData>
    <row r="1" spans="1:3" ht="44.25" customHeight="1" x14ac:dyDescent="0.25">
      <c r="B1" t="s">
        <v>27</v>
      </c>
      <c r="C1" t="s">
        <v>29</v>
      </c>
    </row>
    <row r="2" spans="1:3" ht="44.25" customHeight="1" x14ac:dyDescent="0.25">
      <c r="A2" t="s">
        <v>5</v>
      </c>
      <c r="B2">
        <v>0</v>
      </c>
      <c r="C2">
        <v>1</v>
      </c>
    </row>
    <row r="3" spans="1:3" ht="44.25" customHeight="1" x14ac:dyDescent="0.25">
      <c r="A3" t="s">
        <v>7</v>
      </c>
      <c r="B3">
        <v>65</v>
      </c>
      <c r="C3" s="2">
        <v>8</v>
      </c>
    </row>
    <row r="4" spans="1:3" ht="44.25" customHeight="1" x14ac:dyDescent="0.25">
      <c r="A4" t="s">
        <v>8</v>
      </c>
      <c r="B4">
        <v>65</v>
      </c>
      <c r="C4">
        <f>8-7*COS(B4*PI()/180)</f>
        <v>5.0416721678151042</v>
      </c>
    </row>
    <row r="5" spans="1:3" ht="44.25" customHeight="1" x14ac:dyDescent="0.25">
      <c r="A5" t="s">
        <v>6</v>
      </c>
      <c r="B5">
        <v>90</v>
      </c>
      <c r="C5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</vt:lpstr>
      <vt:lpstr>A</vt:lpstr>
      <vt:lpstr>B</vt:lpstr>
      <vt:lpstr>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Jinpeng Zhu</dc:creator>
  <cp:lastModifiedBy>Jinpeng Zhu</cp:lastModifiedBy>
  <dcterms:created xsi:type="dcterms:W3CDTF">2026-03-17T22:11:08Z</dcterms:created>
  <dcterms:modified xsi:type="dcterms:W3CDTF">2026-03-18T20:47:51Z</dcterms:modified>
</cp:coreProperties>
</file>